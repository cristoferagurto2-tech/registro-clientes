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29bbc350e436f63/Desktop/Historial de Clientes/"/>
    </mc:Choice>
  </mc:AlternateContent>
  <xr:revisionPtr revIDLastSave="4" documentId="13_ncr:1_{5EBF2BC1-F159-43DA-B710-C100763A3B5B}" xr6:coauthVersionLast="47" xr6:coauthVersionMax="47" xr10:uidLastSave="{AFA49AD0-C42D-46BC-8C32-9AAFB2CCB14D}"/>
  <bookViews>
    <workbookView xWindow="-96" yWindow="-96" windowWidth="23232" windowHeight="12432" xr2:uid="{00000000-000D-0000-FFFF-FFFF00000000}"/>
  </bookViews>
  <sheets>
    <sheet name="Cliente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18" i="2"/>
  <c r="B17" i="2"/>
  <c r="B16" i="2"/>
  <c r="B15" i="2"/>
  <c r="C25" i="2" l="1"/>
  <c r="B27" i="2"/>
  <c r="E27" i="2" s="1"/>
  <c r="B33" i="2"/>
  <c r="E33" i="2" s="1"/>
  <c r="C23" i="2"/>
  <c r="D23" i="2"/>
  <c r="D25" i="2"/>
  <c r="D27" i="2"/>
  <c r="D29" i="2"/>
  <c r="D31" i="2"/>
  <c r="D33" i="2"/>
  <c r="B25" i="2"/>
  <c r="E25" i="2" s="1"/>
  <c r="B26" i="2"/>
  <c r="E26" i="2" s="1"/>
  <c r="B30" i="2"/>
  <c r="E30" i="2" s="1"/>
  <c r="B32" i="2"/>
  <c r="E32" i="2" s="1"/>
  <c r="C29" i="2"/>
  <c r="C31" i="2"/>
  <c r="B22" i="2"/>
  <c r="E22" i="2" s="1"/>
  <c r="B28" i="2"/>
  <c r="E28" i="2" s="1"/>
  <c r="C22" i="2"/>
  <c r="C24" i="2"/>
  <c r="C26" i="2"/>
  <c r="C28" i="2"/>
  <c r="C30" i="2"/>
  <c r="C32" i="2"/>
  <c r="B29" i="2"/>
  <c r="E29" i="2" s="1"/>
  <c r="C27" i="2"/>
  <c r="C33" i="2"/>
  <c r="B24" i="2"/>
  <c r="E24" i="2" s="1"/>
  <c r="D22" i="2"/>
  <c r="D24" i="2"/>
  <c r="D26" i="2"/>
  <c r="D28" i="2"/>
  <c r="D30" i="2"/>
  <c r="B23" i="2"/>
  <c r="E23" i="2" s="1"/>
  <c r="B31" i="2"/>
  <c r="E31" i="2" s="1"/>
</calcChain>
</file>

<file path=xl/sharedStrings.xml><?xml version="1.0" encoding="utf-8"?>
<sst xmlns="http://schemas.openxmlformats.org/spreadsheetml/2006/main" count="55" uniqueCount="51">
  <si>
    <t>Fecha</t>
  </si>
  <si>
    <t>Mes</t>
  </si>
  <si>
    <t>DNI</t>
  </si>
  <si>
    <t>Nombre y Apellidos</t>
  </si>
  <si>
    <t>Celular</t>
  </si>
  <si>
    <t>Producto</t>
  </si>
  <si>
    <t>Monto</t>
  </si>
  <si>
    <t>Tasa</t>
  </si>
  <si>
    <t>Lugar</t>
  </si>
  <si>
    <t>Observación</t>
  </si>
  <si>
    <t>Ganancias</t>
  </si>
  <si>
    <t>DASHBOARD DE ANÁLISIS - AÑO 2026</t>
  </si>
  <si>
    <t>📋 INSTRUCCIONES:</t>
  </si>
  <si>
    <t>1. Ve a la hoja 'Clientes'</t>
  </si>
  <si>
    <t>2. Escribe fechas del año 2026</t>
  </si>
  <si>
    <t>3. La columna 'Mes' se actualiza automáticamente</t>
  </si>
  <si>
    <t>4. En Observaciones usa: Cobro, Pendiente o Cancelado</t>
  </si>
  <si>
    <t>5. Los colores se aplican automáticamente:</t>
  </si>
  <si>
    <t xml:space="preserve">   🟡 Amarillo: Cobro</t>
  </si>
  <si>
    <t xml:space="preserve">   🟢 Verde: Pendiente / En espera</t>
  </si>
  <si>
    <t xml:space="preserve">   🔴 Rojo: Cancelado</t>
  </si>
  <si>
    <t>6. Guarda el archivo (Ctrl+S) para actualizar todo</t>
  </si>
  <si>
    <t>📊 RESUMEN GENERAL - AÑO 2026</t>
  </si>
  <si>
    <t>Total de Clientes</t>
  </si>
  <si>
    <t>Monto Total (S/)</t>
  </si>
  <si>
    <t>Promedio Tasa (%)</t>
  </si>
  <si>
    <t>Total Ganancias (S/)</t>
  </si>
  <si>
    <t>📅 RESUMEN POR MESES - AÑO 2026</t>
  </si>
  <si>
    <t>Clientes</t>
  </si>
  <si>
    <t>Ganancias (S/)</t>
  </si>
  <si>
    <t>Iconos</t>
  </si>
  <si>
    <t>📅 Enero 2026</t>
  </si>
  <si>
    <t>📅 Febrero 2026</t>
  </si>
  <si>
    <t>📅 Marzo 2026</t>
  </si>
  <si>
    <t>📅 Abril 2026</t>
  </si>
  <si>
    <t>📅 Mayo 2026</t>
  </si>
  <si>
    <t>📅 Junio 2026</t>
  </si>
  <si>
    <t>📅 Julio 2026</t>
  </si>
  <si>
    <t>📅 Agosto 2026</t>
  </si>
  <si>
    <t>📅 Septiembre 2026</t>
  </si>
  <si>
    <t>📅 Octubre 2026</t>
  </si>
  <si>
    <t>📅 Noviembre 2026</t>
  </si>
  <si>
    <t>📅 Diciembre 2026</t>
  </si>
  <si>
    <t>📊 PRODUCTOS Y CONTEO</t>
  </si>
  <si>
    <t>Total</t>
  </si>
  <si>
    <t>• Préstamo personal</t>
  </si>
  <si>
    <t>• Crédito de consumo</t>
  </si>
  <si>
    <t>• Tarjeta de crédito</t>
  </si>
  <si>
    <t>• Préstamo vehicular (automotriz)</t>
  </si>
  <si>
    <t>• Crédito hipotecario</t>
  </si>
  <si>
    <t>• Microcrédito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</si>
</sst>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4472C4"/>
      <name val="Calibri"/>
    </font>
    <font>
      <b/>
      <sz val="11"/>
      <name val="Calibri"/>
    </font>
    <font>
      <sz val="11"/>
      <color rgb="FF4472C4"/>
      <name val="Calibri"/>
    </font>
    <font>
      <b/>
      <sz val="11"/>
      <color rgb="FF00B050"/>
      <name val="Calibri"/>
    </font>
    <font>
      <b/>
      <sz val="14"/>
      <color rgb="FF1F4E78"/>
      <name val="Calibri"/>
    </font>
    <font>
      <b/>
      <sz val="12"/>
      <color rgb="FF4472C4"/>
      <name val="Calibri"/>
    </font>
    <font>
      <sz val="1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name val="Calibri"/>
    </font>
    <font>
      <b/>
      <sz val="11"/>
      <color rgb="FF1F4E78"/>
      <name val="Calibri"/>
    </font>
    <font>
      <sz val="10"/>
      <name val="Calibri"/>
    </font>
    <font>
      <sz val="10"/>
      <color rgb="FF00B050"/>
      <name val="Calibri"/>
    </font>
    <font>
      <sz val="14"/>
      <color rgb="FF00B05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/>
    <xf numFmtId="4" fontId="3" fillId="0" borderId="0" xfId="0" applyNumberFormat="1" applyFont="1"/>
    <xf numFmtId="2" fontId="3" fillId="0" borderId="0" xfId="0" applyNumberFormat="1" applyFont="1"/>
    <xf numFmtId="4" fontId="5" fillId="0" borderId="0" xfId="0" applyNumberFormat="1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b/>
        <color rgb="FF000000"/>
      </font>
      <fill>
        <patternFill patternType="solid">
          <fgColor rgb="FFFFD700"/>
          <bgColor rgb="FFFFD70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3" zoomScaleNormal="83" workbookViewId="0">
      <pane ySplit="1" topLeftCell="A2" activePane="bottomLeft" state="frozen"/>
      <selection pane="bottomLeft" activeCell="I25" sqref="I25"/>
    </sheetView>
  </sheetViews>
  <sheetFormatPr baseColWidth="10" defaultColWidth="8.83984375" defaultRowHeight="14.4"/>
  <cols>
    <col min="1" max="1" width="12" customWidth="1"/>
    <col min="2" max="2" width="18" customWidth="1"/>
    <col min="3" max="3" width="12" customWidth="1"/>
    <col min="4" max="4" width="30" customWidth="1"/>
    <col min="5" max="5" width="12" customWidth="1"/>
    <col min="6" max="6" width="35" customWidth="1"/>
    <col min="7" max="7" width="15" customWidth="1"/>
    <col min="8" max="8" width="10" customWidth="1"/>
    <col min="9" max="9" width="15" customWidth="1"/>
    <col min="10" max="10" width="30" customWidth="1"/>
    <col min="11" max="11" width="1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3"/>
      <c r="C2" s="4"/>
      <c r="D2" s="5"/>
      <c r="E2" s="6"/>
      <c r="F2" s="5"/>
      <c r="G2" s="7"/>
      <c r="H2" s="8"/>
      <c r="I2" s="5"/>
      <c r="J2" s="5"/>
      <c r="K2" s="9"/>
    </row>
  </sheetData>
  <conditionalFormatting sqref="J2:J1000">
    <cfRule type="expression" dxfId="2" priority="1">
      <formula>ISNUMBER(SEARCH("cancelado",J2))</formula>
    </cfRule>
    <cfRule type="expression" dxfId="1" priority="2">
      <formula>OR(ISNUMBER(SEARCH("pendiente",J2)),ISNUMBER(SEARCH("en espera",J2)))</formula>
    </cfRule>
    <cfRule type="expression" dxfId="0" priority="3">
      <formula>ISNUMBER(SEARCH("Cobro",J2))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I24" sqref="I24"/>
    </sheetView>
  </sheetViews>
  <sheetFormatPr baseColWidth="10" defaultColWidth="8.83984375" defaultRowHeight="14.4"/>
  <cols>
    <col min="1" max="1" width="35" customWidth="1"/>
    <col min="2" max="2" width="12" customWidth="1"/>
    <col min="3" max="4" width="18" customWidth="1"/>
    <col min="5" max="5" width="25" customWidth="1"/>
  </cols>
  <sheetData>
    <row r="1" spans="1:6" ht="18.3">
      <c r="A1" s="24" t="s">
        <v>11</v>
      </c>
      <c r="B1" s="23"/>
      <c r="C1" s="23"/>
      <c r="D1" s="23"/>
      <c r="E1" s="23"/>
      <c r="F1" s="23"/>
    </row>
    <row r="3" spans="1:6" ht="15.6">
      <c r="A3" s="26" t="s">
        <v>12</v>
      </c>
      <c r="B3" s="23"/>
    </row>
    <row r="4" spans="1:6">
      <c r="A4" s="10" t="s">
        <v>13</v>
      </c>
    </row>
    <row r="5" spans="1:6">
      <c r="A5" s="10" t="s">
        <v>14</v>
      </c>
    </row>
    <row r="6" spans="1:6">
      <c r="A6" s="10" t="s">
        <v>15</v>
      </c>
    </row>
    <row r="7" spans="1:6">
      <c r="A7" s="10" t="s">
        <v>16</v>
      </c>
    </row>
    <row r="8" spans="1:6">
      <c r="A8" s="10" t="s">
        <v>17</v>
      </c>
    </row>
    <row r="9" spans="1:6">
      <c r="A9" s="10" t="s">
        <v>18</v>
      </c>
    </row>
    <row r="10" spans="1:6">
      <c r="A10" s="10" t="s">
        <v>19</v>
      </c>
    </row>
    <row r="11" spans="1:6">
      <c r="A11" s="10" t="s">
        <v>20</v>
      </c>
    </row>
    <row r="12" spans="1:6">
      <c r="A12" s="10" t="s">
        <v>21</v>
      </c>
    </row>
    <row r="14" spans="1:6" ht="15.6">
      <c r="A14" s="22" t="s">
        <v>22</v>
      </c>
      <c r="B14" s="23"/>
      <c r="C14" s="23"/>
      <c r="D14" s="23"/>
      <c r="E14" s="23"/>
      <c r="F14" s="23"/>
    </row>
    <row r="15" spans="1:6">
      <c r="A15" t="s">
        <v>23</v>
      </c>
      <c r="B15" s="11">
        <f>COUNTA(Clientes!C2:C1000)</f>
        <v>0</v>
      </c>
    </row>
    <row r="16" spans="1:6">
      <c r="A16" t="s">
        <v>24</v>
      </c>
      <c r="B16" s="12">
        <f>SUM(Clientes!G2:G1000)</f>
        <v>0</v>
      </c>
    </row>
    <row r="17" spans="1:6">
      <c r="A17" t="s">
        <v>25</v>
      </c>
      <c r="B17" s="13" t="e">
        <f>AVERAGE(Clientes!H2:H1000)</f>
        <v>#DIV/0!</v>
      </c>
    </row>
    <row r="18" spans="1:6">
      <c r="A18" t="s">
        <v>26</v>
      </c>
      <c r="B18" s="14">
        <f>SUM(Clientes!K2:K1000)</f>
        <v>0</v>
      </c>
    </row>
    <row r="20" spans="1:6" ht="15.6">
      <c r="A20" s="25" t="s">
        <v>27</v>
      </c>
      <c r="B20" s="23"/>
      <c r="C20" s="23"/>
      <c r="D20" s="23"/>
      <c r="E20" s="23"/>
      <c r="F20" s="23"/>
    </row>
    <row r="21" spans="1:6">
      <c r="A21" s="15" t="s">
        <v>1</v>
      </c>
      <c r="B21" s="15" t="s">
        <v>28</v>
      </c>
      <c r="C21" s="15" t="s">
        <v>24</v>
      </c>
      <c r="D21" s="15" t="s">
        <v>29</v>
      </c>
      <c r="E21" s="15" t="s">
        <v>30</v>
      </c>
    </row>
    <row r="22" spans="1:6" ht="18.3">
      <c r="A22" s="16" t="s">
        <v>31</v>
      </c>
      <c r="B22" s="17">
        <f>COUNTIF(Clientes!B2:B1000,"enero 2026")</f>
        <v>0</v>
      </c>
      <c r="C22" s="18">
        <f>SUMIF(Clientes!B2:B1000,"enero 2026",Clientes!G2:G1000)</f>
        <v>0</v>
      </c>
      <c r="D22" s="19">
        <f>SUMIF(Clientes!B2:B1000,"enero 2026",Clientes!K2:K1000)</f>
        <v>0</v>
      </c>
      <c r="E22" s="20" t="str">
        <f t="shared" ref="E22:E33" si="0">REPT("✓ ",B22)</f>
        <v/>
      </c>
    </row>
    <row r="23" spans="1:6" ht="18.3">
      <c r="A23" s="16" t="s">
        <v>32</v>
      </c>
      <c r="B23" s="17">
        <f>COUNTIF(Clientes!B2:B1000,"febrero 2026")</f>
        <v>0</v>
      </c>
      <c r="C23" s="18">
        <f>SUMIF(Clientes!B2:B1000,"febrero 2026",Clientes!G2:G1000)</f>
        <v>0</v>
      </c>
      <c r="D23" s="19">
        <f>SUMIF(Clientes!B2:B1000,"febrero 2026",Clientes!K2:K1000)</f>
        <v>0</v>
      </c>
      <c r="E23" s="20" t="str">
        <f t="shared" si="0"/>
        <v/>
      </c>
    </row>
    <row r="24" spans="1:6" ht="18.3">
      <c r="A24" s="16" t="s">
        <v>33</v>
      </c>
      <c r="B24" s="17">
        <f>COUNTIF(Clientes!B2:B1000,"marzo 2026")</f>
        <v>0</v>
      </c>
      <c r="C24" s="18">
        <f>SUMIF(Clientes!B2:B1000,"marzo 2026",Clientes!G2:G1000)</f>
        <v>0</v>
      </c>
      <c r="D24" s="19">
        <f>SUMIF(Clientes!B2:B1000,"marzo 2026",Clientes!K2:K1000)</f>
        <v>0</v>
      </c>
      <c r="E24" s="20" t="str">
        <f t="shared" si="0"/>
        <v/>
      </c>
    </row>
    <row r="25" spans="1:6" ht="18.3">
      <c r="A25" s="16" t="s">
        <v>34</v>
      </c>
      <c r="B25" s="17">
        <f>COUNTIF(Clientes!B2:B1000,"abril 2026")</f>
        <v>0</v>
      </c>
      <c r="C25" s="18">
        <f>SUMIF(Clientes!B2:B1000,"abril 2026",Clientes!G2:G1000)</f>
        <v>0</v>
      </c>
      <c r="D25" s="19">
        <f>SUMIF(Clientes!B2:B1000,"abril 2026",Clientes!K2:K1000)</f>
        <v>0</v>
      </c>
      <c r="E25" s="20" t="str">
        <f t="shared" si="0"/>
        <v/>
      </c>
    </row>
    <row r="26" spans="1:6" ht="18.3">
      <c r="A26" s="16" t="s">
        <v>35</v>
      </c>
      <c r="B26" s="17">
        <f>COUNTIF(Clientes!B2:B1000,"mayo 2026")</f>
        <v>0</v>
      </c>
      <c r="C26" s="18">
        <f>SUMIF(Clientes!B2:B1000,"mayo 2026",Clientes!G2:G1000)</f>
        <v>0</v>
      </c>
      <c r="D26" s="19">
        <f>SUMIF(Clientes!B2:B1000,"mayo 2026",Clientes!K2:K1000)</f>
        <v>0</v>
      </c>
      <c r="E26" s="20" t="str">
        <f t="shared" si="0"/>
        <v/>
      </c>
    </row>
    <row r="27" spans="1:6" ht="18.3">
      <c r="A27" s="16" t="s">
        <v>36</v>
      </c>
      <c r="B27" s="17">
        <f>COUNTIF(Clientes!B2:B1000,"junio 2026")</f>
        <v>0</v>
      </c>
      <c r="C27" s="18">
        <f>SUMIF(Clientes!B2:B1000,"junio 2026",Clientes!G2:G1000)</f>
        <v>0</v>
      </c>
      <c r="D27" s="19">
        <f>SUMIF(Clientes!B2:B1000,"junio 2026",Clientes!K2:K1000)</f>
        <v>0</v>
      </c>
      <c r="E27" s="20" t="str">
        <f t="shared" si="0"/>
        <v/>
      </c>
    </row>
    <row r="28" spans="1:6" ht="18.3">
      <c r="A28" s="16" t="s">
        <v>37</v>
      </c>
      <c r="B28" s="17">
        <f>COUNTIF(Clientes!B2:B1000,"julio 2026")</f>
        <v>0</v>
      </c>
      <c r="C28" s="18">
        <f>SUMIF(Clientes!B2:B1000,"julio 2026",Clientes!G2:G1000)</f>
        <v>0</v>
      </c>
      <c r="D28" s="19">
        <f>SUMIF(Clientes!B2:B1000,"julio 2026",Clientes!K2:K1000)</f>
        <v>0</v>
      </c>
      <c r="E28" s="20" t="str">
        <f t="shared" si="0"/>
        <v/>
      </c>
    </row>
    <row r="29" spans="1:6" ht="18.3">
      <c r="A29" s="16" t="s">
        <v>38</v>
      </c>
      <c r="B29" s="17">
        <f>COUNTIF(Clientes!B2:B1000,"agosto 2026")</f>
        <v>0</v>
      </c>
      <c r="C29" s="18">
        <f>SUMIF(Clientes!B2:B1000,"agosto 2026",Clientes!G2:G1000)</f>
        <v>0</v>
      </c>
      <c r="D29" s="19">
        <f>SUMIF(Clientes!B2:B1000,"agosto 2026",Clientes!K2:K1000)</f>
        <v>0</v>
      </c>
      <c r="E29" s="20" t="str">
        <f t="shared" si="0"/>
        <v/>
      </c>
    </row>
    <row r="30" spans="1:6" ht="18.3">
      <c r="A30" s="16" t="s">
        <v>39</v>
      </c>
      <c r="B30" s="17">
        <f>COUNTIF(Clientes!B2:B1000,"septiembre 2026")</f>
        <v>0</v>
      </c>
      <c r="C30" s="18">
        <f>SUMIF(Clientes!B2:B1000,"septiembre 2026",Clientes!G2:G1000)</f>
        <v>0</v>
      </c>
      <c r="D30" s="19">
        <f>SUMIF(Clientes!B2:B1000,"septiembre 2026",Clientes!K2:K1000)</f>
        <v>0</v>
      </c>
      <c r="E30" s="20" t="str">
        <f t="shared" si="0"/>
        <v/>
      </c>
    </row>
    <row r="31" spans="1:6" ht="18.3">
      <c r="A31" s="16" t="s">
        <v>40</v>
      </c>
      <c r="B31" s="17">
        <f>COUNTIF(Clientes!B2:B1000,"octubre 2026")</f>
        <v>0</v>
      </c>
      <c r="C31" s="18">
        <f>SUMIF(Clientes!B2:B1000,"octubre 2026",Clientes!G2:G1000)</f>
        <v>0</v>
      </c>
      <c r="D31" s="19">
        <f>SUMIF(Clientes!B2:B1000,"octubre 2026",Clientes!K2:K1000)</f>
        <v>0</v>
      </c>
      <c r="E31" s="20" t="str">
        <f t="shared" si="0"/>
        <v/>
      </c>
    </row>
    <row r="32" spans="1:6" ht="18.3">
      <c r="A32" s="16" t="s">
        <v>41</v>
      </c>
      <c r="B32" s="17">
        <f>COUNTIF(Clientes!B2:B1000,"noviembre 2026")</f>
        <v>0</v>
      </c>
      <c r="C32" s="18">
        <f>SUMIF(Clientes!B2:B1000,"noviembre 2026",Clientes!G2:G1000)</f>
        <v>0</v>
      </c>
      <c r="D32" s="19">
        <f>SUMIF(Clientes!B2:B1000,"noviembre 2026",Clientes!K2:K1000)</f>
        <v>0</v>
      </c>
      <c r="E32" s="20" t="str">
        <f t="shared" si="0"/>
        <v/>
      </c>
    </row>
    <row r="33" spans="1:5" ht="18.3">
      <c r="A33" s="16" t="s">
        <v>42</v>
      </c>
      <c r="B33" s="17">
        <f>COUNTIF(Clientes!B2:B1000,"diciembre 2026")</f>
        <v>0</v>
      </c>
      <c r="C33" s="18">
        <f>SUMIF(Clientes!B2:B1000,"diciembre 2026",Clientes!G2:G1000)</f>
        <v>0</v>
      </c>
      <c r="D33" s="19">
        <f>SUMIF(Clientes!B2:B1000,"diciembre 2026",Clientes!K2:K1000)</f>
        <v>0</v>
      </c>
      <c r="E33" s="20" t="str">
        <f t="shared" si="0"/>
        <v/>
      </c>
    </row>
    <row r="36" spans="1:5" ht="15.6">
      <c r="A36" s="22" t="s">
        <v>43</v>
      </c>
      <c r="B36" s="23"/>
      <c r="C36" s="23"/>
      <c r="D36" s="23"/>
      <c r="E36" s="23"/>
    </row>
    <row r="37" spans="1:5">
      <c r="A37" s="15" t="s">
        <v>5</v>
      </c>
      <c r="B37" s="15" t="s">
        <v>44</v>
      </c>
      <c r="C37" s="15" t="s">
        <v>28</v>
      </c>
    </row>
    <row r="38" spans="1:5" ht="18.3">
      <c r="A38" s="21" t="s">
        <v>45</v>
      </c>
      <c r="B38" s="17">
        <f>COUNTIF(Clientes!F2:F1000,"Préstamo personal")</f>
        <v>0</v>
      </c>
      <c r="C38" s="20" t="str">
        <f t="shared" ref="C38:C43" si="1">REPT("✓ ",B38)</f>
        <v/>
      </c>
    </row>
    <row r="39" spans="1:5" ht="18.3">
      <c r="A39" s="21" t="s">
        <v>46</v>
      </c>
      <c r="B39" s="17">
        <f>COUNTIF(Clientes!F2:F1000,"Crédito de consumo")</f>
        <v>0</v>
      </c>
      <c r="C39" s="20" t="str">
        <f t="shared" si="1"/>
        <v/>
      </c>
    </row>
    <row r="40" spans="1:5" ht="18.3">
      <c r="A40" s="21" t="s">
        <v>47</v>
      </c>
      <c r="B40" s="17">
        <f>COUNTIF(Clientes!F2:F1000,"Tarjeta de crédito")</f>
        <v>0</v>
      </c>
      <c r="C40" s="20" t="str">
        <f t="shared" si="1"/>
        <v/>
      </c>
    </row>
    <row r="41" spans="1:5" ht="18.3">
      <c r="A41" s="21" t="s">
        <v>48</v>
      </c>
      <c r="B41" s="17">
        <f>COUNTIF(Clientes!F2:F1000,"Préstamo vehicular (automotriz)")</f>
        <v>0</v>
      </c>
      <c r="C41" s="20" t="str">
        <f t="shared" si="1"/>
        <v/>
      </c>
    </row>
    <row r="42" spans="1:5" ht="18.3">
      <c r="A42" s="21" t="s">
        <v>49</v>
      </c>
      <c r="B42" s="17">
        <f>COUNTIF(Clientes!F2:F1000,"Crédito hipotecario")</f>
        <v>0</v>
      </c>
      <c r="C42" s="20" t="str">
        <f t="shared" si="1"/>
        <v/>
      </c>
    </row>
    <row r="43" spans="1:5" ht="18.3">
      <c r="A43" s="21" t="s">
        <v>50</v>
      </c>
      <c r="B43" s="17">
        <f>COUNTIF(Clientes!F2:F1000,"Microcrédito")</f>
        <v>0</v>
      </c>
      <c r="C43" s="20" t="str">
        <f t="shared" si="1"/>
        <v/>
      </c>
    </row>
  </sheetData>
  <mergeCells count="5">
    <mergeCell ref="A14:F14"/>
    <mergeCell ref="A1:F1"/>
    <mergeCell ref="A36:E36"/>
    <mergeCell ref="A20:F20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Cristofer Vallejos</cp:lastModifiedBy>
  <dcterms:created xsi:type="dcterms:W3CDTF">2026-02-13T21:20:17Z</dcterms:created>
  <dcterms:modified xsi:type="dcterms:W3CDTF">2026-02-16T20:23:30Z</dcterms:modified>
</cp:coreProperties>
</file>